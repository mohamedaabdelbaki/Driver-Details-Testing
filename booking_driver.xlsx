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or\Downloads\task 2\"/>
    </mc:Choice>
  </mc:AlternateContent>
  <xr:revisionPtr revIDLastSave="0" documentId="8_{43AD15CE-71EA-425E-9286-8D24307650DA}" xr6:coauthVersionLast="47" xr6:coauthVersionMax="47" xr10:uidLastSave="{00000000-0000-0000-0000-000000000000}"/>
  <bookViews>
    <workbookView xWindow="-98" yWindow="-98" windowWidth="21795" windowHeight="13096" tabRatio="821" firstSheet="1" activeTab="1" xr2:uid="{00000000-000D-0000-FFFF-FFFF00000000}"/>
  </bookViews>
  <sheets>
    <sheet name="Cover" sheetId="97" state="hidden" r:id="rId1"/>
    <sheet name="booking_driver" sheetId="122" r:id="rId2"/>
    <sheet name="Sheet1" sheetId="123" state="hidden" r:id="rId3"/>
    <sheet name="Test Report" sheetId="107" state="hidden" r:id="rId4"/>
  </sheets>
  <externalReferences>
    <externalReference r:id="rId5"/>
  </externalReferences>
  <definedNames>
    <definedName name="Access">[1]Validation!$E$2:$E$223</definedName>
    <definedName name="AccessCircuit">[1]Validation!$C$2:$C$29</definedName>
    <definedName name="ACTION">#REF!</definedName>
    <definedName name="CoS">[1]Validation!$G$2:$G$47</definedName>
    <definedName name="Countries">[1]Validation!$A$2:$A$301</definedName>
    <definedName name="DSLCheckService">[1]Validation!$H$2:$H$4</definedName>
    <definedName name="Port">[1]Validation!$F$2:$F$40</definedName>
    <definedName name="VancoProducts">[1]Validation!$B$2:$B$4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22" l="1"/>
  <c r="D8" i="107" s="1"/>
  <c r="D10" i="107" s="1"/>
  <c r="E7" i="122"/>
  <c r="G8" i="107" s="1"/>
  <c r="G10" i="107" s="1"/>
  <c r="B7" i="122"/>
  <c r="E8" i="107" s="1"/>
  <c r="E10" i="107" s="1"/>
  <c r="E6" i="122"/>
  <c r="F8" i="107" s="1"/>
  <c r="F10" i="107" s="1"/>
  <c r="C8" i="107"/>
  <c r="E13" i="107" l="1"/>
  <c r="E12" i="107"/>
</calcChain>
</file>

<file path=xl/sharedStrings.xml><?xml version="1.0" encoding="utf-8"?>
<sst xmlns="http://schemas.openxmlformats.org/spreadsheetml/2006/main" count="162" uniqueCount="131">
  <si>
    <t>TEST CASE</t>
  </si>
  <si>
    <t>Version:</t>
  </si>
  <si>
    <t>Issue date:</t>
  </si>
  <si>
    <t>31/07/2007</t>
  </si>
  <si>
    <t>Project Name:</t>
  </si>
  <si>
    <t>Sameple project</t>
  </si>
  <si>
    <t>Project Code:</t>
  </si>
  <si>
    <t>UTEHY-SE01</t>
  </si>
  <si>
    <t>Record of change:</t>
  </si>
  <si>
    <t>Effective Date</t>
  </si>
  <si>
    <t>Version</t>
  </si>
  <si>
    <t>Change location</t>
  </si>
  <si>
    <t>Change description</t>
  </si>
  <si>
    <t>Originator</t>
  </si>
  <si>
    <t>Reviewer/
Approver</t>
  </si>
  <si>
    <t>Reference</t>
  </si>
  <si>
    <t>1.0</t>
  </si>
  <si>
    <t>First creation</t>
  </si>
  <si>
    <t>John Doe</t>
  </si>
  <si>
    <t>CR236 "Export all carrier choices"</t>
  </si>
  <si>
    <t>1.1</t>
  </si>
  <si>
    <t>Update testcase</t>
  </si>
  <si>
    <t>Jane Doe</t>
  </si>
  <si>
    <t>1.2</t>
  </si>
  <si>
    <t>Test Leader 01</t>
  </si>
  <si>
    <r>
      <t>System Name</t>
    </r>
    <r>
      <rPr>
        <b/>
        <sz val="10"/>
        <color theme="0"/>
        <rFont val="ＭＳ Ｐゴシック"/>
        <family val="3"/>
        <charset val="128"/>
      </rPr>
      <t>：</t>
    </r>
  </si>
  <si>
    <t>booking driver</t>
  </si>
  <si>
    <t>Initial condition</t>
  </si>
  <si>
    <t>second conditions</t>
  </si>
  <si>
    <r>
      <t>Team Code</t>
    </r>
    <r>
      <rPr>
        <b/>
        <sz val="10"/>
        <color theme="0"/>
        <rFont val="MS Gothic"/>
        <family val="3"/>
      </rPr>
      <t>：</t>
    </r>
  </si>
  <si>
    <t>Software Testing (21212)</t>
  </si>
  <si>
    <t>booking status :confirmed
booking type:offline
no driver details currently saved</t>
  </si>
  <si>
    <t>booking status :confirmed
booking type:offline
 driver details currently saved</t>
  </si>
  <si>
    <t>Date:</t>
  </si>
  <si>
    <t>14/12/2025</t>
  </si>
  <si>
    <t>Pass</t>
  </si>
  <si>
    <t>Pending</t>
  </si>
  <si>
    <t>Fail</t>
  </si>
  <si>
    <t>Number of test cases:</t>
  </si>
  <si>
    <t>ID</t>
  </si>
  <si>
    <t>Test Case Description</t>
  </si>
  <si>
    <t>Pre Condition</t>
  </si>
  <si>
    <t>Test Steps</t>
  </si>
  <si>
    <t>Test Data</t>
  </si>
  <si>
    <t>Expected Result</t>
  </si>
  <si>
    <t>Actual Result</t>
  </si>
  <si>
    <t>Status</t>
  </si>
  <si>
    <t>Note</t>
  </si>
  <si>
    <t xml:space="preserve">TEST SCENARIOS </t>
  </si>
  <si>
    <t>1. validates the process of adding driver for first time (add module)</t>
  </si>
  <si>
    <t>Tc_add_001</t>
  </si>
  <si>
    <t xml:space="preserve">Validate that the Add Driver Details option appears on the Booking Details page </t>
  </si>
  <si>
    <t xml:space="preserve">1-Navigate to booking details page 
2-click on action tab
</t>
  </si>
  <si>
    <t>NA</t>
  </si>
  <si>
    <t>add driver details appear in action tab</t>
  </si>
  <si>
    <t>Tc_add_002</t>
  </si>
  <si>
    <t>Validate that the Add Driver Details option doesn’t  appears on the Booking Details page when booking status is not confirmed</t>
  </si>
  <si>
    <t>booking status :notconfirmed
booking type:offline
no driver details currently saved</t>
  </si>
  <si>
    <t>add driver details doesn’t appear in action tab</t>
  </si>
  <si>
    <t>Tc_add_003</t>
  </si>
  <si>
    <t>Validate that the Add Driver Details option doesn’t appears on the Booking Details page when booking type online</t>
  </si>
  <si>
    <t>booking status :confirmed
booking type:online
no driver details currently saved</t>
  </si>
  <si>
    <t>add driver details doesn’t  appear in action tab</t>
  </si>
  <si>
    <t>Tc_add_004</t>
  </si>
  <si>
    <t>Verifying that the mandatory field pop-up appears after clicking the Add Driver button.</t>
  </si>
  <si>
    <t xml:space="preserve"> initial conditions are true
Add Driver Details button is visible and enabled.</t>
  </si>
  <si>
    <t>1- click add driver button from action tab</t>
  </si>
  <si>
    <t>pop up form show that first name,last name,phone number mandatorey element</t>
  </si>
  <si>
    <t>Tc_add_005</t>
  </si>
  <si>
    <t>Verify successful submission with only mandatory fields.</t>
  </si>
  <si>
    <t>1- click add driver button from action tab
2-enter valide first ,last name ,phone number
3-click submit</t>
  </si>
  <si>
    <t>first name mohamed
last name ahmed
phone number 12020202</t>
  </si>
  <si>
    <t>The information is saved</t>
  </si>
  <si>
    <t>Tc_add_006</t>
  </si>
  <si>
    <t>Verify fail submission with all mandatory fields are empty and optional fields are filled</t>
  </si>
  <si>
    <t>1- click add driver button from action tab
2-enter valid whatsapp number,licence number
3-click submit</t>
  </si>
  <si>
    <t>whatsapp 30303
licence number 3434m</t>
  </si>
  <si>
    <t>error message appear next to all  empty mandatory fields</t>
  </si>
  <si>
    <t>Tc_add_007</t>
  </si>
  <si>
    <t>verify fail submission when one of the mandatory field is empty</t>
  </si>
  <si>
    <t>1- click add driver button from action tab
2 ,last name ,phone number
3-leave first name empty
4-click submit</t>
  </si>
  <si>
    <t>first name :
last name ahmed
phone number 12020202</t>
  </si>
  <si>
    <t>error message appear next to empty mandatory field</t>
  </si>
  <si>
    <t>Tc_add_008</t>
  </si>
  <si>
    <t xml:space="preserve">Verify successful submission with  mandatory fields and optional field </t>
  </si>
  <si>
    <t>1- click add driver button from action tab
2-enter valide first ,last name ,phone number,whatapp number,licence number
3-click submit</t>
  </si>
  <si>
    <t xml:space="preserve">first name mohamed
last name ahmed
phone number 12020202
whatsapp number 000222
licence number 309m
</t>
  </si>
  <si>
    <t>2 Updating Existing Driver Details (update module)</t>
  </si>
  <si>
    <t>Tc_update_001</t>
  </si>
  <si>
    <t>Verify if the update driver details option appears in the booking details page</t>
  </si>
  <si>
    <t xml:space="preserve">booking status :confirmed
booking type:offline
 driver details currently saved
</t>
  </si>
  <si>
    <t xml:space="preserve">1-Navigate to booking details page 
</t>
  </si>
  <si>
    <t xml:space="preserve">NA
</t>
  </si>
  <si>
    <t>the update driver details appear</t>
  </si>
  <si>
    <t>Tc_update_002</t>
  </si>
  <si>
    <t>Verifying if the update driver details button is working</t>
  </si>
  <si>
    <t xml:space="preserve">1-Navigate to booking details page 
2-click on update driver button
</t>
  </si>
  <si>
    <t>pop up opens filled with the driver info</t>
  </si>
  <si>
    <t>Tc_update_003</t>
  </si>
  <si>
    <t>Verifying if the driver info appear in the update driver details is correct</t>
  </si>
  <si>
    <t xml:space="preserve">booking status :confirmed
booking type:offline
 driver details currently saved
</t>
  </si>
  <si>
    <t>saved driver info is correct</t>
  </si>
  <si>
    <t>Tc_update_004</t>
  </si>
  <si>
    <t>varify updating the mandatory field only</t>
  </si>
  <si>
    <t xml:space="preserve">the driver details pop up is opend
</t>
  </si>
  <si>
    <t xml:space="preserve">1-Navigate to booking details page 
2-click on update driver button
3-write valid data in first name,last name,whatsapp number
4-click save
</t>
  </si>
  <si>
    <t xml:space="preserve">first name mohamed
last name ahmed
phone number 12020202
</t>
  </si>
  <si>
    <t xml:space="preserve">Submission is successful and new changes is reflected </t>
  </si>
  <si>
    <t>Tc_update_005</t>
  </si>
  <si>
    <t>varify updating the optional field only</t>
  </si>
  <si>
    <t xml:space="preserve">1-Navigate to booking details page 
2-click on update driver button
3-write valid data in whatsapp number,licence number 
4-click save
</t>
  </si>
  <si>
    <t>whatsapp number 000222
licence number 309m</t>
  </si>
  <si>
    <t>Tc_update_006</t>
  </si>
  <si>
    <t>varify deleting optional fields</t>
  </si>
  <si>
    <t xml:space="preserve">1-Navigate to booking details page 
2-click on update driver button 
3-clear whatsapp number ,licence number
4-click confirm
</t>
  </si>
  <si>
    <t xml:space="preserve">Submission is successful and  optional field info is deleted </t>
  </si>
  <si>
    <t>Tc_update_007</t>
  </si>
  <si>
    <t>varify removal of driver info</t>
  </si>
  <si>
    <t xml:space="preserve">1-Navigate to booking details page 
2-click on update driver button 
3-click delete
4-click confirm
</t>
  </si>
  <si>
    <t>update driver details button disabled</t>
  </si>
  <si>
    <t>T</t>
  </si>
  <si>
    <t>TEST REPORT</t>
  </si>
  <si>
    <t>Note:</t>
  </si>
  <si>
    <t>Date</t>
    <phoneticPr fontId="11"/>
  </si>
  <si>
    <t>No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</si>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</sst>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28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sz val="8"/>
      <color indexed="8"/>
      <name val="Tahoma"/>
      <family val="2"/>
    </font>
    <font>
      <sz val="10"/>
      <color indexed="8"/>
      <name val="Tahoma"/>
      <family val="2"/>
    </font>
    <font>
      <b/>
      <sz val="18"/>
      <name val="Tahoma"/>
      <family val="2"/>
    </font>
    <font>
      <sz val="11"/>
      <name val="Tahoma"/>
      <family val="2"/>
    </font>
    <font>
      <b/>
      <sz val="10"/>
      <name val="Tahoma"/>
      <family val="2"/>
    </font>
    <font>
      <b/>
      <sz val="10"/>
      <color indexed="60"/>
      <name val="Tahoma"/>
      <family val="2"/>
    </font>
    <font>
      <sz val="6"/>
      <name val="ＭＳ Ｐゴシック"/>
      <family val="3"/>
      <charset val="128"/>
    </font>
    <font>
      <b/>
      <sz val="10"/>
      <color indexed="12"/>
      <name val="Tahoma"/>
      <family val="2"/>
    </font>
    <font>
      <b/>
      <sz val="10"/>
      <color indexed="9"/>
      <name val="Tahoma"/>
      <family val="2"/>
    </font>
    <font>
      <sz val="10"/>
      <color indexed="9"/>
      <name val="Tahoma"/>
      <family val="2"/>
    </font>
    <font>
      <sz val="10"/>
      <name val="ＭＳ Ｐゴシック"/>
      <charset val="128"/>
    </font>
    <font>
      <sz val="8"/>
      <name val="ＭＳ Ｐゴシック"/>
      <charset val="128"/>
    </font>
    <font>
      <sz val="12"/>
      <color indexed="8"/>
      <name val="Tahoma"/>
      <family val="2"/>
    </font>
    <font>
      <b/>
      <sz val="12"/>
      <color indexed="9"/>
      <name val="Tahoma"/>
      <family val="2"/>
    </font>
    <font>
      <sz val="12"/>
      <name val="ＭＳ Ｐゴシック"/>
      <charset val="128"/>
    </font>
    <font>
      <b/>
      <sz val="10"/>
      <color indexed="8"/>
      <name val="Tahoma"/>
      <family val="2"/>
    </font>
    <font>
      <sz val="10"/>
      <color indexed="10"/>
      <name val="Tahoma"/>
      <family val="2"/>
    </font>
    <font>
      <sz val="11"/>
      <color indexed="10"/>
      <name val="ＭＳ Ｐゴシック"/>
      <charset val="128"/>
    </font>
    <font>
      <b/>
      <sz val="10"/>
      <color theme="0"/>
      <name val="Tahoma"/>
      <family val="2"/>
    </font>
    <font>
      <b/>
      <sz val="10"/>
      <color theme="0"/>
      <name val="ＭＳ Ｐゴシック"/>
      <family val="3"/>
      <charset val="128"/>
    </font>
    <font>
      <b/>
      <sz val="10"/>
      <color theme="0"/>
      <name val="MS Gothic"/>
      <family val="3"/>
    </font>
    <font>
      <b/>
      <sz val="10"/>
      <color theme="7"/>
      <name val="Tahoma"/>
      <family val="2"/>
    </font>
    <font>
      <sz val="10"/>
      <color theme="7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 applyProtection="0"/>
    <xf numFmtId="0" fontId="3" fillId="0" borderId="0"/>
  </cellStyleXfs>
  <cellXfs count="171">
    <xf numFmtId="0" fontId="0" fillId="0" borderId="0" xfId="0"/>
    <xf numFmtId="0" fontId="8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vertical="top"/>
    </xf>
    <xf numFmtId="0" fontId="10" fillId="0" borderId="0" xfId="0" applyFont="1"/>
    <xf numFmtId="0" fontId="5" fillId="2" borderId="0" xfId="0" applyFont="1" applyFill="1" applyAlignment="1">
      <alignment wrapText="1"/>
    </xf>
    <xf numFmtId="0" fontId="5" fillId="2" borderId="0" xfId="0" applyFont="1" applyFill="1"/>
    <xf numFmtId="0" fontId="6" fillId="2" borderId="0" xfId="0" applyFont="1" applyFill="1"/>
    <xf numFmtId="0" fontId="6" fillId="2" borderId="1" xfId="0" applyFont="1" applyFill="1" applyBorder="1" applyAlignment="1">
      <alignment horizontal="center" wrapText="1"/>
    </xf>
    <xf numFmtId="15" fontId="4" fillId="0" borderId="0" xfId="0" applyNumberFormat="1" applyFont="1" applyAlignment="1">
      <alignment horizontal="left"/>
    </xf>
    <xf numFmtId="0" fontId="6" fillId="2" borderId="2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7" fillId="0" borderId="0" xfId="1" applyFont="1"/>
    <xf numFmtId="0" fontId="9" fillId="0" borderId="0" xfId="1" applyFont="1"/>
    <xf numFmtId="0" fontId="4" fillId="0" borderId="0" xfId="1" applyFont="1"/>
    <xf numFmtId="164" fontId="4" fillId="0" borderId="0" xfId="1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center" wrapText="1"/>
    </xf>
    <xf numFmtId="0" fontId="8" fillId="2" borderId="0" xfId="0" applyFont="1" applyFill="1"/>
    <xf numFmtId="0" fontId="7" fillId="2" borderId="0" xfId="0" applyFont="1" applyFill="1"/>
    <xf numFmtId="0" fontId="10" fillId="2" borderId="0" xfId="0" applyFont="1" applyFill="1"/>
    <xf numFmtId="0" fontId="4" fillId="2" borderId="0" xfId="0" applyFont="1" applyFill="1"/>
    <xf numFmtId="0" fontId="6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4" fillId="0" borderId="7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15" fontId="4" fillId="0" borderId="6" xfId="0" applyNumberFormat="1" applyFont="1" applyBorder="1" applyAlignment="1">
      <alignment horizontal="left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vertical="center"/>
    </xf>
    <xf numFmtId="0" fontId="8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164" fontId="13" fillId="3" borderId="12" xfId="0" applyNumberFormat="1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 wrapText="1"/>
    </xf>
    <xf numFmtId="0" fontId="13" fillId="3" borderId="14" xfId="0" applyFont="1" applyFill="1" applyBorder="1" applyAlignment="1">
      <alignment horizontal="center" wrapText="1"/>
    </xf>
    <xf numFmtId="0" fontId="14" fillId="3" borderId="9" xfId="0" applyFont="1" applyFill="1" applyBorder="1" applyAlignment="1">
      <alignment horizontal="center"/>
    </xf>
    <xf numFmtId="0" fontId="13" fillId="3" borderId="10" xfId="0" applyFont="1" applyFill="1" applyBorder="1"/>
    <xf numFmtId="0" fontId="14" fillId="3" borderId="10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9" fillId="2" borderId="0" xfId="2" applyFont="1" applyFill="1"/>
    <xf numFmtId="1" fontId="6" fillId="2" borderId="16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2" borderId="0" xfId="2" applyFont="1" applyFill="1" applyAlignment="1">
      <alignment horizontal="left" wrapText="1"/>
    </xf>
    <xf numFmtId="1" fontId="6" fillId="2" borderId="0" xfId="0" applyNumberFormat="1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5" fontId="4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17" fillId="2" borderId="0" xfId="0" applyFont="1" applyFill="1"/>
    <xf numFmtId="0" fontId="17" fillId="0" borderId="0" xfId="0" applyFont="1"/>
    <xf numFmtId="0" fontId="19" fillId="0" borderId="0" xfId="0" applyFont="1"/>
    <xf numFmtId="0" fontId="6" fillId="0" borderId="1" xfId="0" quotePrefix="1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2" fontId="6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0" fontId="21" fillId="0" borderId="1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2" fontId="6" fillId="0" borderId="1" xfId="0" applyNumberFormat="1" applyFont="1" applyBorder="1" applyAlignment="1">
      <alignment vertical="top" wrapText="1"/>
    </xf>
    <xf numFmtId="2" fontId="0" fillId="0" borderId="20" xfId="0" applyNumberFormat="1" applyBorder="1"/>
    <xf numFmtId="0" fontId="0" fillId="0" borderId="1" xfId="0" applyBorder="1"/>
    <xf numFmtId="2" fontId="4" fillId="0" borderId="1" xfId="0" applyNumberFormat="1" applyFont="1" applyBorder="1"/>
    <xf numFmtId="0" fontId="4" fillId="0" borderId="1" xfId="0" applyFont="1" applyBorder="1"/>
    <xf numFmtId="0" fontId="6" fillId="0" borderId="21" xfId="0" applyFont="1" applyBorder="1" applyAlignment="1">
      <alignment horizontal="center" vertical="top" wrapText="1"/>
    </xf>
    <xf numFmtId="0" fontId="6" fillId="0" borderId="21" xfId="0" applyFont="1" applyBorder="1" applyAlignment="1">
      <alignment horizontal="left" vertical="top" wrapText="1"/>
    </xf>
    <xf numFmtId="2" fontId="0" fillId="0" borderId="0" xfId="0" applyNumberFormat="1" applyAlignment="1">
      <alignment vertical="top"/>
    </xf>
    <xf numFmtId="2" fontId="4" fillId="0" borderId="1" xfId="0" applyNumberFormat="1" applyFont="1" applyBorder="1" applyAlignment="1">
      <alignment vertical="top"/>
    </xf>
    <xf numFmtId="0" fontId="21" fillId="0" borderId="1" xfId="0" applyFont="1" applyBorder="1" applyAlignment="1">
      <alignment vertical="top" wrapText="1"/>
    </xf>
    <xf numFmtId="2" fontId="22" fillId="0" borderId="20" xfId="0" applyNumberFormat="1" applyFont="1" applyBorder="1" applyAlignment="1">
      <alignment vertical="top"/>
    </xf>
    <xf numFmtId="0" fontId="21" fillId="0" borderId="2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5" fontId="4" fillId="0" borderId="6" xfId="0" applyNumberFormat="1" applyFont="1" applyBorder="1" applyAlignment="1">
      <alignment horizontal="center" vertical="center" wrapText="1"/>
    </xf>
    <xf numFmtId="2" fontId="4" fillId="5" borderId="1" xfId="0" applyNumberFormat="1" applyFont="1" applyFill="1" applyBorder="1"/>
    <xf numFmtId="164" fontId="4" fillId="0" borderId="7" xfId="0" applyNumberFormat="1" applyFont="1" applyBorder="1" applyAlignment="1">
      <alignment horizontal="center"/>
    </xf>
    <xf numFmtId="0" fontId="6" fillId="2" borderId="0" xfId="0" applyFont="1" applyFill="1" applyAlignment="1">
      <alignment wrapText="1"/>
    </xf>
    <xf numFmtId="0" fontId="6" fillId="2" borderId="33" xfId="0" applyFont="1" applyFill="1" applyBorder="1" applyAlignment="1">
      <alignment horizontal="center" wrapText="1"/>
    </xf>
    <xf numFmtId="0" fontId="23" fillId="8" borderId="15" xfId="2" applyFont="1" applyFill="1" applyBorder="1" applyAlignment="1">
      <alignment horizontal="left" wrapText="1"/>
    </xf>
    <xf numFmtId="0" fontId="23" fillId="8" borderId="2" xfId="2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wrapText="1"/>
    </xf>
    <xf numFmtId="0" fontId="6" fillId="10" borderId="5" xfId="0" applyFont="1" applyFill="1" applyBorder="1" applyAlignment="1">
      <alignment wrapText="1"/>
    </xf>
    <xf numFmtId="0" fontId="6" fillId="11" borderId="3" xfId="0" applyFont="1" applyFill="1" applyBorder="1" applyAlignment="1">
      <alignment horizontal="center" wrapText="1"/>
    </xf>
    <xf numFmtId="0" fontId="20" fillId="12" borderId="1" xfId="2" applyFont="1" applyFill="1" applyBorder="1" applyAlignment="1">
      <alignment horizontal="left" vertical="center" wrapText="1"/>
    </xf>
    <xf numFmtId="0" fontId="26" fillId="2" borderId="0" xfId="2" applyFont="1" applyFill="1" applyAlignment="1">
      <alignment horizontal="left" wrapText="1"/>
    </xf>
    <xf numFmtId="0" fontId="4" fillId="13" borderId="0" xfId="2" applyFont="1" applyFill="1" applyAlignment="1">
      <alignment horizontal="left" wrapText="1"/>
    </xf>
    <xf numFmtId="0" fontId="20" fillId="4" borderId="36" xfId="2" applyFont="1" applyFill="1" applyBorder="1" applyAlignment="1">
      <alignment horizontal="left" vertical="center" wrapText="1"/>
    </xf>
    <xf numFmtId="0" fontId="27" fillId="2" borderId="0" xfId="2" applyFont="1" applyFill="1" applyAlignment="1">
      <alignment horizontal="left" wrapText="1"/>
    </xf>
    <xf numFmtId="0" fontId="20" fillId="12" borderId="20" xfId="2" applyFont="1" applyFill="1" applyBorder="1" applyAlignment="1">
      <alignment horizontal="center" vertical="center" wrapText="1"/>
    </xf>
    <xf numFmtId="0" fontId="20" fillId="12" borderId="22" xfId="2" applyFont="1" applyFill="1" applyBorder="1" applyAlignment="1">
      <alignment horizontal="center" vertical="center" wrapText="1"/>
    </xf>
    <xf numFmtId="0" fontId="20" fillId="12" borderId="17" xfId="2" applyFont="1" applyFill="1" applyBorder="1" applyAlignment="1">
      <alignment horizontal="center" vertical="center" wrapText="1"/>
    </xf>
    <xf numFmtId="0" fontId="20" fillId="4" borderId="20" xfId="2" applyFont="1" applyFill="1" applyBorder="1" applyAlignment="1">
      <alignment horizontal="left" vertical="center" wrapText="1"/>
    </xf>
    <xf numFmtId="0" fontId="20" fillId="4" borderId="22" xfId="2" applyFont="1" applyFill="1" applyBorder="1" applyAlignment="1">
      <alignment horizontal="left" vertical="center" wrapText="1"/>
    </xf>
    <xf numFmtId="0" fontId="20" fillId="4" borderId="17" xfId="2" applyFont="1" applyFill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6" fillId="2" borderId="0" xfId="0" applyFont="1" applyFill="1" applyAlignment="1">
      <alignment horizontal="center" wrapText="1"/>
    </xf>
    <xf numFmtId="0" fontId="4" fillId="2" borderId="23" xfId="2" applyFont="1" applyFill="1" applyBorder="1" applyAlignment="1">
      <alignment horizontal="left" wrapText="1"/>
    </xf>
    <xf numFmtId="0" fontId="4" fillId="2" borderId="24" xfId="2" applyFont="1" applyFill="1" applyBorder="1" applyAlignment="1">
      <alignment horizontal="left" wrapText="1"/>
    </xf>
    <xf numFmtId="0" fontId="20" fillId="12" borderId="20" xfId="2" applyFont="1" applyFill="1" applyBorder="1" applyAlignment="1">
      <alignment horizontal="center" vertical="center" wrapText="1"/>
    </xf>
    <xf numFmtId="0" fontId="20" fillId="12" borderId="22" xfId="2" applyFont="1" applyFill="1" applyBorder="1" applyAlignment="1">
      <alignment horizontal="center" vertical="center" wrapText="1"/>
    </xf>
    <xf numFmtId="0" fontId="20" fillId="12" borderId="17" xfId="2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0" fontId="20" fillId="4" borderId="20" xfId="2" applyFont="1" applyFill="1" applyBorder="1" applyAlignment="1">
      <alignment horizontal="left" vertical="center" wrapText="1"/>
    </xf>
    <xf numFmtId="0" fontId="20" fillId="4" borderId="22" xfId="2" applyFont="1" applyFill="1" applyBorder="1" applyAlignment="1">
      <alignment horizontal="left" vertical="center" wrapText="1"/>
    </xf>
    <xf numFmtId="0" fontId="20" fillId="4" borderId="17" xfId="2" applyFont="1" applyFill="1" applyBorder="1" applyAlignment="1">
      <alignment horizontal="left" vertical="center" wrapText="1"/>
    </xf>
    <xf numFmtId="0" fontId="20" fillId="4" borderId="20" xfId="2" applyFont="1" applyFill="1" applyBorder="1" applyAlignment="1">
      <alignment horizontal="center" vertical="center" wrapText="1"/>
    </xf>
    <xf numFmtId="0" fontId="20" fillId="4" borderId="22" xfId="2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left" vertical="top" wrapText="1"/>
    </xf>
    <xf numFmtId="0" fontId="5" fillId="2" borderId="0" xfId="0" applyFont="1" applyFill="1" applyAlignment="1">
      <alignment horizontal="center" wrapText="1"/>
    </xf>
    <xf numFmtId="0" fontId="5" fillId="2" borderId="28" xfId="0" applyFont="1" applyFill="1" applyBorder="1" applyAlignment="1">
      <alignment horizontal="center" wrapText="1"/>
    </xf>
    <xf numFmtId="0" fontId="6" fillId="2" borderId="29" xfId="0" applyFont="1" applyFill="1" applyBorder="1" applyAlignment="1">
      <alignment horizontal="center"/>
    </xf>
    <xf numFmtId="0" fontId="4" fillId="2" borderId="20" xfId="2" applyFont="1" applyFill="1" applyBorder="1" applyAlignment="1">
      <alignment horizontal="left" vertical="center" wrapText="1"/>
    </xf>
    <xf numFmtId="0" fontId="4" fillId="2" borderId="22" xfId="2" applyFont="1" applyFill="1" applyBorder="1" applyAlignment="1">
      <alignment horizontal="left" vertical="center" wrapText="1"/>
    </xf>
    <xf numFmtId="0" fontId="4" fillId="2" borderId="25" xfId="2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wrapText="1"/>
    </xf>
    <xf numFmtId="0" fontId="6" fillId="14" borderId="0" xfId="0" applyFont="1" applyFill="1" applyAlignment="1">
      <alignment horizontal="center" wrapText="1"/>
    </xf>
    <xf numFmtId="0" fontId="13" fillId="6" borderId="1" xfId="2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wrapText="1"/>
    </xf>
    <xf numFmtId="0" fontId="4" fillId="2" borderId="20" xfId="2" applyFont="1" applyFill="1" applyBorder="1" applyAlignment="1">
      <alignment horizontal="left" vertical="top" wrapText="1"/>
    </xf>
    <xf numFmtId="0" fontId="4" fillId="2" borderId="22" xfId="2" applyFont="1" applyFill="1" applyBorder="1" applyAlignment="1">
      <alignment horizontal="left" vertical="top" wrapText="1"/>
    </xf>
    <xf numFmtId="0" fontId="4" fillId="2" borderId="25" xfId="2" applyFont="1" applyFill="1" applyBorder="1" applyAlignment="1">
      <alignment horizontal="left" vertical="top" wrapText="1"/>
    </xf>
    <xf numFmtId="0" fontId="13" fillId="6" borderId="26" xfId="2" applyFont="1" applyFill="1" applyBorder="1" applyAlignment="1">
      <alignment horizontal="center" vertical="center" wrapText="1"/>
    </xf>
    <xf numFmtId="0" fontId="13" fillId="6" borderId="27" xfId="2" applyFont="1" applyFill="1" applyBorder="1" applyAlignment="1">
      <alignment horizontal="center" vertical="center" wrapText="1"/>
    </xf>
    <xf numFmtId="0" fontId="18" fillId="7" borderId="22" xfId="0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13" fillId="6" borderId="21" xfId="2" applyFont="1" applyFill="1" applyBorder="1" applyAlignment="1">
      <alignment horizontal="center" vertical="center" wrapText="1"/>
    </xf>
    <xf numFmtId="0" fontId="13" fillId="6" borderId="30" xfId="2" applyFont="1" applyFill="1" applyBorder="1" applyAlignment="1">
      <alignment horizontal="center" vertical="center" wrapText="1"/>
    </xf>
    <xf numFmtId="0" fontId="13" fillId="6" borderId="30" xfId="2" applyFont="1" applyFill="1" applyBorder="1" applyAlignment="1">
      <alignment vertical="center" wrapText="1"/>
    </xf>
    <xf numFmtId="0" fontId="13" fillId="6" borderId="1" xfId="2" applyFont="1" applyFill="1" applyBorder="1" applyAlignment="1">
      <alignment vertical="center" wrapText="1"/>
    </xf>
    <xf numFmtId="0" fontId="13" fillId="6" borderId="31" xfId="2" applyFont="1" applyFill="1" applyBorder="1" applyAlignment="1">
      <alignment horizontal="center" vertical="center" wrapText="1"/>
    </xf>
    <xf numFmtId="0" fontId="13" fillId="6" borderId="0" xfId="2" applyFont="1" applyFill="1" applyAlignment="1">
      <alignment horizontal="center" vertical="center" wrapText="1"/>
    </xf>
    <xf numFmtId="0" fontId="13" fillId="6" borderId="32" xfId="2" applyFont="1" applyFill="1" applyBorder="1" applyAlignment="1">
      <alignment horizontal="center" vertical="center" wrapText="1"/>
    </xf>
    <xf numFmtId="0" fontId="13" fillId="6" borderId="33" xfId="2" applyFont="1" applyFill="1" applyBorder="1" applyAlignment="1">
      <alignment horizontal="center" vertical="center" wrapText="1"/>
    </xf>
    <xf numFmtId="0" fontId="13" fillId="6" borderId="34" xfId="2" applyFont="1" applyFill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left" vertical="top" wrapText="1"/>
    </xf>
    <xf numFmtId="165" fontId="20" fillId="0" borderId="20" xfId="0" applyNumberFormat="1" applyFont="1" applyBorder="1" applyAlignment="1">
      <alignment horizontal="center" vertical="top" wrapText="1"/>
    </xf>
    <xf numFmtId="165" fontId="6" fillId="0" borderId="22" xfId="0" applyNumberFormat="1" applyFont="1" applyBorder="1" applyAlignment="1">
      <alignment horizontal="center" vertical="top" wrapText="1"/>
    </xf>
    <xf numFmtId="165" fontId="6" fillId="0" borderId="17" xfId="0" applyNumberFormat="1" applyFont="1" applyBorder="1" applyAlignment="1">
      <alignment horizontal="center" vertical="top" wrapText="1"/>
    </xf>
    <xf numFmtId="0" fontId="13" fillId="6" borderId="35" xfId="2" applyFont="1" applyFill="1" applyBorder="1" applyAlignment="1">
      <alignment horizontal="center" vertical="center" wrapText="1"/>
    </xf>
  </cellXfs>
  <cellStyles count="4">
    <cellStyle name="Normal" xfId="0" builtinId="0"/>
    <cellStyle name="Normal_Functional Test Case v1.0" xfId="1" xr:uid="{00000000-0005-0000-0000-000000000000}"/>
    <cellStyle name="Normal_Sheet1_Vanco_CR022a1_TestCase_v0.1" xfId="2" xr:uid="{00000000-0005-0000-0000-000001000000}"/>
    <cellStyle name="標準_結合試験(AllOvertheWorld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dc-nt2\osdc\Documents%20and%20Settings\ThoanCT\My%20Documents\Copy%20of%20DataLoadSheet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Validation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3"/>
  <sheetViews>
    <sheetView showGridLines="0" workbookViewId="0">
      <selection activeCell="B13" sqref="B13"/>
    </sheetView>
  </sheetViews>
  <sheetFormatPr defaultColWidth="9" defaultRowHeight="13.5"/>
  <cols>
    <col min="1" max="1" width="9" style="1"/>
    <col min="2" max="2" width="14.28515625" style="1" customWidth="1"/>
    <col min="3" max="3" width="9" style="1"/>
    <col min="4" max="4" width="15" style="1" customWidth="1"/>
    <col min="5" max="5" width="32.42578125" style="1" customWidth="1"/>
    <col min="6" max="6" width="23.85546875" style="1" customWidth="1"/>
    <col min="7" max="7" width="20.42578125" style="1" customWidth="1"/>
    <col min="8" max="8" width="26.7109375" style="1" customWidth="1"/>
    <col min="9" max="16384" width="9" style="1"/>
  </cols>
  <sheetData>
    <row r="2" spans="1:8" ht="22.15">
      <c r="A2" s="23"/>
      <c r="B2" s="24" t="s">
        <v>0</v>
      </c>
      <c r="C2" s="23"/>
      <c r="D2" s="23"/>
      <c r="E2" s="23"/>
      <c r="F2" s="23"/>
      <c r="G2" s="23"/>
    </row>
    <row r="3" spans="1:8">
      <c r="A3" s="23"/>
      <c r="B3" s="25" t="s">
        <v>1</v>
      </c>
      <c r="C3" s="59">
        <v>1.2</v>
      </c>
      <c r="D3" s="26"/>
      <c r="E3" s="23"/>
      <c r="F3" s="23"/>
      <c r="G3" s="23"/>
    </row>
    <row r="4" spans="1:8">
      <c r="A4" s="23"/>
      <c r="B4" s="25" t="s">
        <v>2</v>
      </c>
      <c r="C4" s="10" t="s">
        <v>3</v>
      </c>
      <c r="D4" s="10"/>
      <c r="E4" s="23"/>
      <c r="F4" s="23"/>
      <c r="G4" s="23"/>
    </row>
    <row r="5" spans="1:8" ht="13.9" thickBot="1">
      <c r="A5" s="23"/>
      <c r="B5" s="25"/>
      <c r="C5" s="26"/>
      <c r="D5" s="26"/>
      <c r="E5" s="23"/>
      <c r="F5" s="23"/>
      <c r="G5" s="23"/>
    </row>
    <row r="6" spans="1:8" ht="14.25" customHeight="1" thickBot="1">
      <c r="A6" s="23"/>
      <c r="B6" s="25" t="s">
        <v>4</v>
      </c>
      <c r="C6" s="126" t="s">
        <v>5</v>
      </c>
      <c r="D6" s="126"/>
      <c r="E6" s="127"/>
      <c r="F6" s="23"/>
      <c r="G6" s="23"/>
    </row>
    <row r="7" spans="1:8">
      <c r="A7" s="23"/>
      <c r="B7" s="25" t="s">
        <v>6</v>
      </c>
      <c r="C7" s="126" t="s">
        <v>7</v>
      </c>
      <c r="D7" s="126"/>
      <c r="E7" s="127"/>
      <c r="F7" s="23"/>
      <c r="G7" s="23"/>
    </row>
    <row r="8" spans="1:8">
      <c r="A8" s="23"/>
      <c r="B8" s="25"/>
      <c r="C8" s="23"/>
      <c r="D8" s="23"/>
      <c r="E8" s="23"/>
      <c r="F8" s="23"/>
      <c r="G8" s="23"/>
    </row>
    <row r="9" spans="1:8">
      <c r="A9" s="23"/>
      <c r="B9" s="17"/>
      <c r="C9" s="17"/>
      <c r="D9" s="17"/>
      <c r="E9" s="17"/>
      <c r="F9" s="23"/>
      <c r="G9" s="23"/>
    </row>
    <row r="10" spans="1:8">
      <c r="B10" s="5" t="s">
        <v>8</v>
      </c>
    </row>
    <row r="11" spans="1:8" s="32" customFormat="1" ht="25.5">
      <c r="B11" s="48" t="s">
        <v>9</v>
      </c>
      <c r="C11" s="49" t="s">
        <v>10</v>
      </c>
      <c r="D11" s="49" t="s">
        <v>11</v>
      </c>
      <c r="E11" s="49" t="s">
        <v>12</v>
      </c>
      <c r="F11" s="49" t="s">
        <v>13</v>
      </c>
      <c r="G11" s="50" t="s">
        <v>14</v>
      </c>
      <c r="H11" s="82" t="s">
        <v>15</v>
      </c>
    </row>
    <row r="12" spans="1:8" s="32" customFormat="1" ht="25.5">
      <c r="B12" s="34">
        <v>39293</v>
      </c>
      <c r="C12" s="35" t="s">
        <v>16</v>
      </c>
      <c r="D12" s="36"/>
      <c r="E12" s="37" t="s">
        <v>17</v>
      </c>
      <c r="F12" s="69" t="s">
        <v>18</v>
      </c>
      <c r="G12" s="81"/>
      <c r="H12" s="83" t="s">
        <v>19</v>
      </c>
    </row>
    <row r="13" spans="1:8" s="32" customFormat="1" ht="25.5">
      <c r="B13" s="104">
        <v>39295</v>
      </c>
      <c r="C13" s="35" t="s">
        <v>20</v>
      </c>
      <c r="D13" s="36"/>
      <c r="E13" s="37" t="s">
        <v>21</v>
      </c>
      <c r="F13" s="69" t="s">
        <v>18</v>
      </c>
      <c r="G13" s="102" t="s">
        <v>22</v>
      </c>
      <c r="H13" s="83" t="s">
        <v>19</v>
      </c>
    </row>
    <row r="14" spans="1:8" s="33" customFormat="1" ht="25.5">
      <c r="B14" s="34">
        <v>39311</v>
      </c>
      <c r="C14" s="35" t="s">
        <v>23</v>
      </c>
      <c r="D14" s="36"/>
      <c r="E14" s="37" t="s">
        <v>21</v>
      </c>
      <c r="F14" s="69" t="s">
        <v>18</v>
      </c>
      <c r="G14" s="102" t="s">
        <v>24</v>
      </c>
      <c r="H14" s="83" t="s">
        <v>19</v>
      </c>
    </row>
    <row r="15" spans="1:8" s="33" customFormat="1" ht="12.75">
      <c r="B15" s="41"/>
      <c r="C15" s="42"/>
      <c r="D15" s="39"/>
      <c r="E15" s="39"/>
      <c r="F15" s="39"/>
      <c r="G15" s="39"/>
      <c r="H15" s="40"/>
    </row>
    <row r="16" spans="1:8" s="32" customFormat="1">
      <c r="B16" s="34"/>
      <c r="C16" s="38"/>
      <c r="D16" s="36"/>
      <c r="E16" s="39"/>
      <c r="F16" s="39"/>
      <c r="G16" s="39"/>
      <c r="H16" s="43"/>
    </row>
    <row r="17" spans="2:8" s="32" customFormat="1">
      <c r="B17" s="41"/>
      <c r="C17" s="42"/>
      <c r="D17" s="39"/>
      <c r="E17" s="39"/>
      <c r="F17" s="39"/>
      <c r="G17" s="39"/>
      <c r="H17" s="40"/>
    </row>
    <row r="18" spans="2:8" s="32" customFormat="1">
      <c r="B18" s="41"/>
      <c r="C18" s="42"/>
      <c r="D18" s="39"/>
      <c r="E18" s="39"/>
      <c r="F18" s="39"/>
      <c r="G18" s="39"/>
      <c r="H18" s="40"/>
    </row>
    <row r="19" spans="2:8" s="32" customFormat="1">
      <c r="B19" s="41"/>
      <c r="C19" s="42"/>
      <c r="D19" s="39"/>
      <c r="E19" s="39"/>
      <c r="F19" s="39"/>
      <c r="G19" s="39"/>
      <c r="H19" s="40"/>
    </row>
    <row r="20" spans="2:8" s="32" customFormat="1">
      <c r="B20" s="41"/>
      <c r="C20" s="42"/>
      <c r="D20" s="39"/>
      <c r="E20" s="39"/>
      <c r="F20" s="39"/>
      <c r="G20" s="39"/>
      <c r="H20" s="40"/>
    </row>
    <row r="21" spans="2:8" s="32" customFormat="1">
      <c r="B21" s="41"/>
      <c r="C21" s="42"/>
      <c r="D21" s="39"/>
      <c r="E21" s="39"/>
      <c r="F21" s="39"/>
      <c r="G21" s="39"/>
      <c r="H21" s="40"/>
    </row>
    <row r="22" spans="2:8" s="32" customFormat="1">
      <c r="B22" s="41"/>
      <c r="C22" s="42"/>
      <c r="D22" s="39"/>
      <c r="E22" s="39"/>
      <c r="F22" s="39"/>
      <c r="G22" s="39"/>
      <c r="H22" s="40"/>
    </row>
    <row r="23" spans="2:8" s="32" customFormat="1">
      <c r="B23" s="44"/>
      <c r="C23" s="45"/>
      <c r="D23" s="46"/>
      <c r="E23" s="46"/>
      <c r="F23" s="46"/>
      <c r="G23" s="46"/>
      <c r="H23" s="47"/>
    </row>
  </sheetData>
  <mergeCells count="2">
    <mergeCell ref="C6:E6"/>
    <mergeCell ref="C7:E7"/>
  </mergeCells>
  <phoneticPr fontId="0"/>
  <pageMargins left="0.37" right="0.47" top="0.5" bottom="0.38" header="0.5" footer="0.17"/>
  <pageSetup paperSize="9" orientation="landscape" horizontalDpi="96" verticalDpi="96" r:id="rId1"/>
  <headerFooter alignWithMargins="0">
    <oddFooter>&amp;L&amp;"Tahoma,Regular"&amp;8 02ae-BM/PM/HDCV/FSOFT v1/0&amp;R&amp;"Tahoma,Regular"&amp;10&amp;P/&amp;N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16"/>
  <sheetViews>
    <sheetView tabSelected="1" workbookViewId="0">
      <selection activeCell="E22" sqref="E22:G22"/>
    </sheetView>
  </sheetViews>
  <sheetFormatPr defaultRowHeight="13.5" outlineLevelRow="1"/>
  <cols>
    <col min="1" max="1" width="15.7109375" customWidth="1"/>
    <col min="2" max="3" width="18.140625" customWidth="1"/>
    <col min="4" max="4" width="42.140625" customWidth="1"/>
    <col min="7" max="7" width="23.5703125" customWidth="1"/>
    <col min="8" max="8" width="18.42578125" hidden="1" customWidth="1"/>
    <col min="9" max="9" width="18.42578125" customWidth="1"/>
    <col min="10" max="10" width="17.28515625" customWidth="1"/>
    <col min="11" max="11" width="13.42578125" style="93" customWidth="1"/>
    <col min="12" max="12" width="18" style="91" customWidth="1"/>
  </cols>
  <sheetData>
    <row r="1" spans="1:13" s="2" customFormat="1" ht="12.75" customHeight="1">
      <c r="A1" s="60" t="s">
        <v>0</v>
      </c>
      <c r="B1" s="139"/>
      <c r="C1" s="139"/>
      <c r="D1" s="139"/>
      <c r="E1" s="139"/>
      <c r="F1" s="6"/>
      <c r="G1" s="6"/>
      <c r="H1" s="6"/>
      <c r="I1" s="6"/>
      <c r="J1" s="6"/>
      <c r="K1" s="105"/>
      <c r="L1" s="6"/>
      <c r="M1" s="7"/>
    </row>
    <row r="2" spans="1:13" s="2" customFormat="1" ht="11.25" customHeight="1" thickBot="1">
      <c r="A2" s="7"/>
      <c r="B2" s="140"/>
      <c r="C2" s="140"/>
      <c r="D2" s="140"/>
      <c r="E2" s="140"/>
      <c r="F2" s="6"/>
      <c r="G2" s="6"/>
      <c r="H2" s="6"/>
      <c r="I2" s="6"/>
      <c r="J2" s="6"/>
      <c r="K2" s="105"/>
      <c r="L2" s="6"/>
      <c r="M2" s="7"/>
    </row>
    <row r="3" spans="1:13" s="3" customFormat="1" ht="15" customHeight="1">
      <c r="A3" s="107" t="s">
        <v>25</v>
      </c>
      <c r="B3" s="126" t="s">
        <v>26</v>
      </c>
      <c r="C3" s="126"/>
      <c r="D3" s="126"/>
      <c r="E3" s="127"/>
      <c r="F3" s="63"/>
      <c r="G3" s="113" t="s">
        <v>27</v>
      </c>
      <c r="H3" s="63"/>
      <c r="I3" s="116"/>
      <c r="J3" s="149" t="s">
        <v>28</v>
      </c>
      <c r="K3" s="146"/>
      <c r="L3" s="146"/>
      <c r="M3" s="8"/>
    </row>
    <row r="4" spans="1:13" s="3" customFormat="1" ht="76.5">
      <c r="A4" s="108" t="s">
        <v>29</v>
      </c>
      <c r="B4" s="150" t="s">
        <v>30</v>
      </c>
      <c r="C4" s="151"/>
      <c r="D4" s="151"/>
      <c r="E4" s="152"/>
      <c r="F4" s="63"/>
      <c r="G4" s="114" t="s">
        <v>31</v>
      </c>
      <c r="H4" s="63"/>
      <c r="I4" s="63"/>
      <c r="J4" s="147" t="s">
        <v>32</v>
      </c>
      <c r="K4" s="147"/>
      <c r="L4" s="147"/>
      <c r="M4" s="8"/>
    </row>
    <row r="5" spans="1:13" s="73" customFormat="1" ht="12.75">
      <c r="A5" s="108" t="s">
        <v>33</v>
      </c>
      <c r="B5" s="142" t="s">
        <v>34</v>
      </c>
      <c r="C5" s="143"/>
      <c r="D5" s="143"/>
      <c r="E5" s="144"/>
      <c r="F5" s="71"/>
      <c r="G5" s="71"/>
      <c r="H5" s="71"/>
      <c r="I5" s="71"/>
      <c r="J5" s="145"/>
      <c r="K5" s="145"/>
      <c r="L5" s="145"/>
      <c r="M5" s="72"/>
    </row>
    <row r="6" spans="1:13" s="3" customFormat="1" ht="15" customHeight="1">
      <c r="A6" s="11" t="s">
        <v>35</v>
      </c>
      <c r="B6" s="109">
        <f>COUNTIF(K12:K75,"Pass")</f>
        <v>0</v>
      </c>
      <c r="C6" s="87"/>
      <c r="D6" s="9" t="s">
        <v>36</v>
      </c>
      <c r="E6" s="111">
        <f>COUNTIF(K10:K797,"Pending")</f>
        <v>0</v>
      </c>
      <c r="F6" s="125"/>
      <c r="G6" s="125"/>
      <c r="H6" s="125"/>
      <c r="I6" s="125"/>
      <c r="J6" s="146"/>
      <c r="K6" s="146"/>
      <c r="L6" s="146"/>
      <c r="M6" s="8"/>
    </row>
    <row r="7" spans="1:13" s="3" customFormat="1" ht="15" customHeight="1" thickBot="1">
      <c r="A7" s="12" t="s">
        <v>37</v>
      </c>
      <c r="B7" s="110">
        <f>COUNTIF(K12:K75,"Fail")</f>
        <v>0</v>
      </c>
      <c r="C7" s="88"/>
      <c r="D7" s="27" t="s">
        <v>38</v>
      </c>
      <c r="E7" s="61">
        <f>COUNTA(A12:A78) -15</f>
        <v>3</v>
      </c>
      <c r="F7" s="64"/>
      <c r="G7" s="64"/>
      <c r="H7" s="64"/>
      <c r="I7" s="64"/>
      <c r="J7" s="146"/>
      <c r="K7" s="146"/>
      <c r="L7" s="146"/>
      <c r="M7" s="8"/>
    </row>
    <row r="8" spans="1:13" s="3" customFormat="1" ht="15" customHeight="1">
      <c r="A8" s="141"/>
      <c r="B8" s="141"/>
      <c r="C8" s="141"/>
      <c r="D8" s="141"/>
      <c r="E8" s="141"/>
      <c r="F8" s="125"/>
      <c r="G8" s="125"/>
      <c r="H8" s="125"/>
      <c r="I8" s="125"/>
      <c r="J8" s="125"/>
      <c r="K8" s="106"/>
      <c r="L8" s="106"/>
      <c r="M8" s="8"/>
    </row>
    <row r="9" spans="1:13" s="75" customFormat="1" ht="12" customHeight="1">
      <c r="A9" s="158" t="s">
        <v>39</v>
      </c>
      <c r="B9" s="159" t="s">
        <v>40</v>
      </c>
      <c r="C9" s="157" t="s">
        <v>41</v>
      </c>
      <c r="D9" s="158" t="s">
        <v>42</v>
      </c>
      <c r="E9" s="161" t="s">
        <v>43</v>
      </c>
      <c r="F9" s="162"/>
      <c r="G9" s="162"/>
      <c r="H9" s="163"/>
      <c r="I9" s="170" t="s">
        <v>44</v>
      </c>
      <c r="J9" s="153" t="s">
        <v>45</v>
      </c>
      <c r="K9" s="148" t="s">
        <v>46</v>
      </c>
      <c r="L9" s="148" t="s">
        <v>47</v>
      </c>
      <c r="M9" s="74"/>
    </row>
    <row r="10" spans="1:13" s="3" customFormat="1" ht="12" customHeight="1">
      <c r="A10" s="148"/>
      <c r="B10" s="160"/>
      <c r="C10" s="158"/>
      <c r="D10" s="148"/>
      <c r="E10" s="154"/>
      <c r="F10" s="164"/>
      <c r="G10" s="164"/>
      <c r="H10" s="165"/>
      <c r="I10" s="158"/>
      <c r="J10" s="154"/>
      <c r="K10" s="148"/>
      <c r="L10" s="148"/>
      <c r="M10" s="8"/>
    </row>
    <row r="11" spans="1:13" s="76" customFormat="1" ht="15">
      <c r="A11" s="155" t="s">
        <v>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6"/>
    </row>
    <row r="12" spans="1:13" s="4" customFormat="1" ht="36.75" customHeight="1">
      <c r="A12" s="133" t="s">
        <v>49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5"/>
    </row>
    <row r="13" spans="1:13" s="4" customFormat="1" ht="111.4" customHeight="1">
      <c r="A13" s="112" t="s">
        <v>50</v>
      </c>
      <c r="B13" s="112" t="s">
        <v>51</v>
      </c>
      <c r="C13" s="112" t="s">
        <v>31</v>
      </c>
      <c r="D13" s="112" t="s">
        <v>52</v>
      </c>
      <c r="E13" s="128" t="s">
        <v>53</v>
      </c>
      <c r="F13" s="129"/>
      <c r="G13" s="130"/>
      <c r="H13" s="112"/>
      <c r="I13" s="112" t="s">
        <v>54</v>
      </c>
      <c r="J13" s="112"/>
      <c r="K13" s="112"/>
      <c r="L13" s="112"/>
    </row>
    <row r="14" spans="1:13" s="4" customFormat="1" ht="111.4" customHeight="1">
      <c r="A14" s="112" t="s">
        <v>55</v>
      </c>
      <c r="B14" s="112" t="s">
        <v>56</v>
      </c>
      <c r="C14" s="112" t="s">
        <v>57</v>
      </c>
      <c r="D14" s="112" t="s">
        <v>52</v>
      </c>
      <c r="E14" s="128" t="s">
        <v>53</v>
      </c>
      <c r="F14" s="129"/>
      <c r="G14" s="130"/>
      <c r="H14" s="112"/>
      <c r="I14" s="112" t="s">
        <v>58</v>
      </c>
      <c r="J14" s="112"/>
      <c r="K14" s="112"/>
      <c r="L14" s="112"/>
    </row>
    <row r="15" spans="1:13" s="4" customFormat="1" ht="111.4" customHeight="1">
      <c r="A15" s="112" t="s">
        <v>59</v>
      </c>
      <c r="B15" s="112" t="s">
        <v>60</v>
      </c>
      <c r="C15" s="112" t="s">
        <v>61</v>
      </c>
      <c r="D15" s="112" t="s">
        <v>52</v>
      </c>
      <c r="E15" s="128" t="s">
        <v>53</v>
      </c>
      <c r="F15" s="129"/>
      <c r="G15" s="130"/>
      <c r="H15" s="112"/>
      <c r="I15" s="112" t="s">
        <v>62</v>
      </c>
      <c r="J15" s="112"/>
      <c r="K15" s="112"/>
      <c r="L15" s="112"/>
    </row>
    <row r="16" spans="1:13" s="4" customFormat="1" ht="111.4" customHeight="1">
      <c r="A16" s="112" t="s">
        <v>63</v>
      </c>
      <c r="B16" s="112" t="s">
        <v>64</v>
      </c>
      <c r="C16" s="112" t="s">
        <v>65</v>
      </c>
      <c r="D16" s="112" t="s">
        <v>66</v>
      </c>
      <c r="E16" s="128" t="s">
        <v>53</v>
      </c>
      <c r="F16" s="129"/>
      <c r="G16" s="130"/>
      <c r="H16" s="112"/>
      <c r="I16" s="112" t="s">
        <v>67</v>
      </c>
      <c r="J16" s="112"/>
      <c r="K16" s="112"/>
      <c r="L16" s="112"/>
    </row>
    <row r="17" spans="1:12" s="4" customFormat="1" ht="111.4" customHeight="1">
      <c r="A17" s="112" t="s">
        <v>68</v>
      </c>
      <c r="B17" s="112" t="s">
        <v>69</v>
      </c>
      <c r="C17" s="112" t="s">
        <v>65</v>
      </c>
      <c r="D17" s="112" t="s">
        <v>70</v>
      </c>
      <c r="E17" s="128" t="s">
        <v>71</v>
      </c>
      <c r="F17" s="129"/>
      <c r="G17" s="130"/>
      <c r="H17" s="112"/>
      <c r="I17" s="112" t="s">
        <v>72</v>
      </c>
      <c r="J17" s="112"/>
      <c r="K17" s="112"/>
      <c r="L17" s="112"/>
    </row>
    <row r="18" spans="1:12" s="4" customFormat="1" ht="111.4" customHeight="1">
      <c r="A18" s="112" t="s">
        <v>73</v>
      </c>
      <c r="B18" s="112" t="s">
        <v>74</v>
      </c>
      <c r="C18" s="112" t="s">
        <v>65</v>
      </c>
      <c r="D18" s="112" t="s">
        <v>75</v>
      </c>
      <c r="E18" s="128" t="s">
        <v>76</v>
      </c>
      <c r="F18" s="129"/>
      <c r="G18" s="130"/>
      <c r="H18" s="112"/>
      <c r="I18" s="112" t="s">
        <v>77</v>
      </c>
      <c r="J18" s="112"/>
      <c r="K18" s="112"/>
      <c r="L18" s="112"/>
    </row>
    <row r="19" spans="1:12" s="4" customFormat="1" ht="111.4" customHeight="1">
      <c r="A19" s="112" t="s">
        <v>78</v>
      </c>
      <c r="B19" s="112" t="s">
        <v>79</v>
      </c>
      <c r="C19" s="112" t="s">
        <v>65</v>
      </c>
      <c r="D19" s="112" t="s">
        <v>80</v>
      </c>
      <c r="E19" s="128" t="s">
        <v>81</v>
      </c>
      <c r="F19" s="129"/>
      <c r="G19" s="130"/>
      <c r="H19" s="112"/>
      <c r="I19" s="112" t="s">
        <v>82</v>
      </c>
      <c r="J19" s="112"/>
      <c r="K19" s="112"/>
      <c r="L19" s="112"/>
    </row>
    <row r="20" spans="1:12" s="4" customFormat="1" ht="111.4" customHeight="1">
      <c r="A20" s="112" t="s">
        <v>83</v>
      </c>
      <c r="B20" s="112" t="s">
        <v>84</v>
      </c>
      <c r="C20" s="112" t="s">
        <v>65</v>
      </c>
      <c r="D20" s="112" t="s">
        <v>85</v>
      </c>
      <c r="E20" s="128" t="s">
        <v>86</v>
      </c>
      <c r="F20" s="129"/>
      <c r="G20" s="130"/>
      <c r="H20" s="112"/>
      <c r="I20" s="112" t="s">
        <v>72</v>
      </c>
      <c r="J20" s="112"/>
      <c r="K20" s="112"/>
      <c r="L20" s="112"/>
    </row>
    <row r="21" spans="1:12" s="4" customFormat="1" ht="39.75" customHeight="1" outlineLevel="1">
      <c r="A21" s="133" t="s">
        <v>87</v>
      </c>
      <c r="B21" s="134"/>
      <c r="C21" s="134"/>
      <c r="D21" s="134"/>
      <c r="E21" s="121"/>
      <c r="F21" s="121"/>
      <c r="G21" s="121"/>
      <c r="H21" s="121"/>
      <c r="I21" s="121"/>
      <c r="J21" s="121"/>
      <c r="K21" s="121"/>
      <c r="L21" s="122"/>
    </row>
    <row r="22" spans="1:12" s="4" customFormat="1" ht="111.4" customHeight="1">
      <c r="A22" s="112" t="s">
        <v>88</v>
      </c>
      <c r="B22" s="112" t="s">
        <v>89</v>
      </c>
      <c r="C22" s="112" t="s">
        <v>90</v>
      </c>
      <c r="D22" s="112" t="s">
        <v>91</v>
      </c>
      <c r="E22" s="128" t="s">
        <v>92</v>
      </c>
      <c r="F22" s="129"/>
      <c r="G22" s="130"/>
      <c r="H22" s="112"/>
      <c r="I22" s="112" t="s">
        <v>93</v>
      </c>
      <c r="J22" s="112"/>
      <c r="K22" s="112"/>
      <c r="L22" s="112"/>
    </row>
    <row r="23" spans="1:12" s="4" customFormat="1" ht="111.4" customHeight="1">
      <c r="A23" s="112" t="s">
        <v>94</v>
      </c>
      <c r="B23" s="112" t="s">
        <v>95</v>
      </c>
      <c r="C23" s="112" t="s">
        <v>90</v>
      </c>
      <c r="D23" s="112" t="s">
        <v>96</v>
      </c>
      <c r="E23" s="128" t="s">
        <v>92</v>
      </c>
      <c r="F23" s="129"/>
      <c r="G23" s="130"/>
      <c r="H23" s="112"/>
      <c r="I23" s="112" t="s">
        <v>97</v>
      </c>
      <c r="J23" s="112"/>
      <c r="K23" s="112"/>
      <c r="L23" s="112"/>
    </row>
    <row r="24" spans="1:12" s="4" customFormat="1" ht="111.4" customHeight="1">
      <c r="A24" s="112" t="s">
        <v>98</v>
      </c>
      <c r="B24" s="112" t="s">
        <v>99</v>
      </c>
      <c r="C24" s="112" t="s">
        <v>100</v>
      </c>
      <c r="D24" s="112" t="s">
        <v>96</v>
      </c>
      <c r="E24" s="128" t="s">
        <v>86</v>
      </c>
      <c r="F24" s="129"/>
      <c r="G24" s="130"/>
      <c r="H24" s="112"/>
      <c r="I24" s="112" t="s">
        <v>101</v>
      </c>
      <c r="J24" s="112"/>
      <c r="K24" s="112"/>
      <c r="L24" s="112"/>
    </row>
    <row r="25" spans="1:12" s="4" customFormat="1" ht="111.4" customHeight="1">
      <c r="A25" s="112" t="s">
        <v>102</v>
      </c>
      <c r="B25" s="112" t="s">
        <v>103</v>
      </c>
      <c r="C25" s="112" t="s">
        <v>104</v>
      </c>
      <c r="D25" s="112" t="s">
        <v>105</v>
      </c>
      <c r="E25" s="128" t="s">
        <v>106</v>
      </c>
      <c r="F25" s="129"/>
      <c r="G25" s="130"/>
      <c r="H25" s="112"/>
      <c r="I25" s="112" t="s">
        <v>107</v>
      </c>
      <c r="J25" s="112"/>
      <c r="K25" s="112"/>
      <c r="L25" s="112"/>
    </row>
    <row r="26" spans="1:12" s="4" customFormat="1" ht="111.4" customHeight="1">
      <c r="A26" s="112" t="s">
        <v>108</v>
      </c>
      <c r="B26" s="112" t="s">
        <v>109</v>
      </c>
      <c r="C26" s="112" t="s">
        <v>104</v>
      </c>
      <c r="D26" s="112" t="s">
        <v>110</v>
      </c>
      <c r="E26" s="128" t="s">
        <v>111</v>
      </c>
      <c r="F26" s="129"/>
      <c r="G26" s="130"/>
      <c r="H26" s="112"/>
      <c r="I26" s="112" t="s">
        <v>107</v>
      </c>
      <c r="J26" s="112"/>
      <c r="K26" s="112"/>
      <c r="L26" s="112"/>
    </row>
    <row r="27" spans="1:12" s="4" customFormat="1" ht="111.4" customHeight="1">
      <c r="A27" s="112" t="s">
        <v>112</v>
      </c>
      <c r="B27" s="112" t="s">
        <v>113</v>
      </c>
      <c r="C27" s="112" t="s">
        <v>104</v>
      </c>
      <c r="D27" s="112" t="s">
        <v>114</v>
      </c>
      <c r="E27" s="117" t="s">
        <v>53</v>
      </c>
      <c r="F27" s="118"/>
      <c r="G27" s="119"/>
      <c r="H27" s="112"/>
      <c r="I27" s="112" t="s">
        <v>115</v>
      </c>
      <c r="J27" s="112"/>
      <c r="K27" s="112"/>
      <c r="L27" s="112"/>
    </row>
    <row r="28" spans="1:12" s="4" customFormat="1" ht="111.4" customHeight="1">
      <c r="A28" s="112" t="s">
        <v>116</v>
      </c>
      <c r="B28" s="112" t="s">
        <v>117</v>
      </c>
      <c r="C28" s="112" t="s">
        <v>104</v>
      </c>
      <c r="D28" s="112" t="s">
        <v>118</v>
      </c>
      <c r="E28" s="117" t="s">
        <v>53</v>
      </c>
      <c r="F28" s="118"/>
      <c r="G28" s="119"/>
      <c r="H28" s="112"/>
      <c r="I28" s="112" t="s">
        <v>119</v>
      </c>
      <c r="J28" s="112"/>
      <c r="K28" s="112"/>
      <c r="L28" s="112"/>
    </row>
    <row r="29" spans="1:12" s="4" customFormat="1" ht="39.75" customHeight="1" outlineLevel="1">
      <c r="A29" s="120"/>
      <c r="B29" s="115"/>
      <c r="C29" s="115"/>
      <c r="D29" s="115"/>
      <c r="E29" s="121"/>
      <c r="F29" s="121"/>
      <c r="G29" s="121"/>
      <c r="H29" s="121"/>
      <c r="I29" s="121"/>
      <c r="J29" s="121"/>
      <c r="K29" s="121"/>
      <c r="L29" s="122"/>
    </row>
    <row r="30" spans="1:12" s="4" customFormat="1" ht="63.75" customHeight="1" outlineLevel="1">
      <c r="A30" s="80" t="s">
        <v>120</v>
      </c>
      <c r="B30" s="94"/>
      <c r="C30" s="94"/>
      <c r="D30" s="95"/>
      <c r="E30" s="138"/>
      <c r="F30" s="132"/>
      <c r="G30" s="132"/>
      <c r="H30" s="78"/>
      <c r="I30" s="124"/>
      <c r="J30" s="123"/>
      <c r="K30" s="79"/>
      <c r="L30" s="77"/>
    </row>
    <row r="31" spans="1:12" s="4" customFormat="1" ht="63.75" customHeight="1" outlineLevel="1">
      <c r="A31" s="80"/>
      <c r="B31" s="94"/>
      <c r="C31" s="94"/>
      <c r="D31" s="95"/>
      <c r="E31" s="138"/>
      <c r="F31" s="132"/>
      <c r="G31" s="132"/>
      <c r="H31" s="78"/>
      <c r="I31" s="124"/>
      <c r="J31" s="100"/>
      <c r="K31" s="79"/>
      <c r="L31" s="77"/>
    </row>
    <row r="32" spans="1:12" s="4" customFormat="1" ht="12.75" outlineLevel="1">
      <c r="A32" s="80"/>
      <c r="B32" s="94"/>
      <c r="C32" s="94"/>
      <c r="D32" s="95"/>
      <c r="E32" s="131"/>
      <c r="F32" s="132"/>
      <c r="G32" s="132"/>
      <c r="H32" s="78"/>
      <c r="I32" s="78"/>
      <c r="J32" s="86"/>
      <c r="K32" s="79"/>
      <c r="L32" s="77"/>
    </row>
    <row r="33" spans="1:16" s="4" customFormat="1" ht="12.75" outlineLevel="1">
      <c r="A33" s="80"/>
      <c r="B33" s="94"/>
      <c r="C33" s="94"/>
      <c r="D33" s="95"/>
      <c r="E33" s="138"/>
      <c r="F33" s="132"/>
      <c r="G33" s="132"/>
      <c r="H33" s="78"/>
      <c r="I33" s="124"/>
      <c r="J33" s="123"/>
      <c r="K33" s="79"/>
      <c r="L33" s="77"/>
    </row>
    <row r="34" spans="1:16" s="4" customFormat="1" ht="12.75" outlineLevel="1">
      <c r="A34" s="136"/>
      <c r="B34" s="137"/>
      <c r="C34" s="137"/>
      <c r="D34" s="137"/>
      <c r="E34" s="121"/>
      <c r="F34" s="121"/>
      <c r="G34" s="121"/>
      <c r="H34" s="121"/>
      <c r="I34" s="121"/>
      <c r="J34" s="121"/>
      <c r="K34" s="121"/>
      <c r="L34" s="122"/>
    </row>
    <row r="35" spans="1:16" s="4" customFormat="1" ht="63.75" customHeight="1" outlineLevel="1">
      <c r="A35" s="80"/>
      <c r="B35" s="94"/>
      <c r="C35" s="94"/>
      <c r="D35" s="95"/>
      <c r="E35" s="138"/>
      <c r="F35" s="132"/>
      <c r="G35" s="132"/>
      <c r="H35" s="78"/>
      <c r="I35" s="124"/>
      <c r="J35" s="123"/>
      <c r="K35" s="79"/>
      <c r="L35" s="77"/>
    </row>
    <row r="36" spans="1:16" s="4" customFormat="1" ht="63.75" customHeight="1" outlineLevel="1">
      <c r="A36" s="80"/>
      <c r="B36" s="94"/>
      <c r="C36" s="94"/>
      <c r="D36" s="95"/>
      <c r="E36" s="138"/>
      <c r="F36" s="132"/>
      <c r="G36" s="132"/>
      <c r="H36" s="78"/>
      <c r="I36" s="124"/>
      <c r="J36" s="100"/>
      <c r="K36" s="79"/>
      <c r="L36" s="77"/>
    </row>
    <row r="37" spans="1:16" s="4" customFormat="1" ht="12.75" outlineLevel="1">
      <c r="A37" s="80"/>
      <c r="B37" s="94"/>
      <c r="C37" s="94"/>
      <c r="D37" s="95"/>
      <c r="E37" s="138"/>
      <c r="F37" s="132"/>
      <c r="G37" s="132"/>
      <c r="H37" s="78"/>
      <c r="I37" s="78"/>
      <c r="J37" s="86"/>
      <c r="K37" s="79"/>
      <c r="L37" s="77"/>
    </row>
    <row r="38" spans="1:16" s="4" customFormat="1" ht="12.75" outlineLevel="1">
      <c r="A38" s="80"/>
      <c r="B38" s="94"/>
      <c r="C38" s="94"/>
      <c r="D38" s="95"/>
      <c r="E38" s="138"/>
      <c r="F38" s="132"/>
      <c r="G38" s="132"/>
      <c r="H38" s="78"/>
      <c r="I38" s="124"/>
      <c r="J38" s="123"/>
      <c r="K38" s="79"/>
      <c r="L38" s="77"/>
    </row>
    <row r="39" spans="1:16" s="4" customFormat="1" ht="12.75">
      <c r="A39" s="133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5"/>
    </row>
    <row r="40" spans="1:16" s="85" customFormat="1" ht="228.75" customHeight="1" outlineLevel="1">
      <c r="A40" s="80"/>
      <c r="B40" s="89"/>
      <c r="C40" s="89"/>
      <c r="D40" s="84"/>
      <c r="E40" s="131"/>
      <c r="F40" s="132"/>
      <c r="G40" s="132"/>
      <c r="K40" s="101"/>
      <c r="L40" s="86"/>
    </row>
    <row r="41" spans="1:16" s="85" customFormat="1" ht="207.75" customHeight="1" outlineLevel="1">
      <c r="A41" s="80"/>
      <c r="B41" s="89"/>
      <c r="C41" s="89"/>
      <c r="D41" s="84"/>
      <c r="E41" s="131"/>
      <c r="F41" s="132"/>
      <c r="G41" s="132"/>
      <c r="J41" s="99"/>
      <c r="K41" s="101"/>
      <c r="L41" s="86"/>
    </row>
    <row r="42" spans="1:16" s="85" customFormat="1" ht="255" customHeight="1" outlineLevel="1">
      <c r="A42" s="80"/>
      <c r="B42" s="89"/>
      <c r="C42" s="89"/>
      <c r="D42" s="84"/>
      <c r="E42" s="131"/>
      <c r="F42" s="132"/>
      <c r="G42" s="132"/>
      <c r="J42" s="99"/>
      <c r="K42" s="97"/>
      <c r="L42" s="98"/>
      <c r="M42" s="96"/>
      <c r="N42" s="96"/>
      <c r="O42" s="96"/>
      <c r="P42" s="96"/>
    </row>
    <row r="43" spans="1:16" s="85" customFormat="1" ht="276.75" customHeight="1" outlineLevel="1">
      <c r="A43" s="80"/>
      <c r="B43" s="89"/>
      <c r="C43" s="89"/>
      <c r="D43" s="84"/>
      <c r="E43" s="131"/>
      <c r="F43" s="132"/>
      <c r="G43" s="132"/>
      <c r="J43" s="90"/>
      <c r="K43" s="92"/>
      <c r="L43" s="86"/>
    </row>
    <row r="44" spans="1:16" s="4" customFormat="1" ht="12.75">
      <c r="A44" s="133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5"/>
    </row>
    <row r="45" spans="1:16" s="4" customFormat="1" ht="12.75" outlineLevel="1">
      <c r="A45" s="133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5"/>
    </row>
    <row r="46" spans="1:16" s="85" customFormat="1" ht="70.5" customHeight="1" outlineLevel="1">
      <c r="A46" s="80"/>
      <c r="B46" s="89"/>
      <c r="C46" s="89"/>
      <c r="D46" s="84"/>
      <c r="E46" s="131"/>
      <c r="F46" s="132"/>
      <c r="G46" s="132"/>
      <c r="J46" s="90"/>
      <c r="K46" s="92"/>
      <c r="L46" s="86"/>
    </row>
    <row r="47" spans="1:16" s="85" customFormat="1" ht="87.75" customHeight="1" outlineLevel="1">
      <c r="A47" s="80"/>
      <c r="B47" s="89"/>
      <c r="C47" s="89"/>
      <c r="D47" s="84"/>
      <c r="E47" s="131"/>
      <c r="F47" s="132"/>
      <c r="G47" s="132"/>
      <c r="J47" s="90"/>
      <c r="K47" s="92"/>
      <c r="L47" s="86"/>
    </row>
    <row r="48" spans="1:16" s="85" customFormat="1" ht="87.75" customHeight="1" outlineLevel="1">
      <c r="A48" s="80"/>
      <c r="B48" s="89"/>
      <c r="C48" s="89"/>
      <c r="D48" s="84"/>
      <c r="E48" s="131"/>
      <c r="F48" s="132"/>
      <c r="G48" s="132"/>
      <c r="J48" s="90"/>
      <c r="K48" s="92"/>
      <c r="L48" s="86"/>
    </row>
    <row r="49" spans="1:12" s="85" customFormat="1" ht="59.25" customHeight="1" outlineLevel="1">
      <c r="A49" s="80"/>
      <c r="B49" s="89"/>
      <c r="C49" s="89"/>
      <c r="D49" s="84"/>
      <c r="E49" s="131"/>
      <c r="F49" s="132"/>
      <c r="G49" s="132"/>
      <c r="J49" s="90"/>
      <c r="K49" s="92"/>
      <c r="L49" s="86"/>
    </row>
    <row r="50" spans="1:12" s="85" customFormat="1" ht="56.25" customHeight="1" outlineLevel="1">
      <c r="A50" s="80"/>
      <c r="B50" s="89"/>
      <c r="C50" s="89"/>
      <c r="D50" s="84"/>
      <c r="E50" s="131"/>
      <c r="F50" s="132"/>
      <c r="G50" s="132"/>
      <c r="J50" s="90"/>
      <c r="K50" s="92"/>
      <c r="L50" s="86"/>
    </row>
    <row r="51" spans="1:12" s="85" customFormat="1" ht="87.75" customHeight="1" outlineLevel="1">
      <c r="A51" s="80"/>
      <c r="B51" s="89"/>
      <c r="C51" s="89"/>
      <c r="D51" s="84"/>
      <c r="E51" s="131"/>
      <c r="F51" s="132"/>
      <c r="G51" s="132"/>
      <c r="J51" s="90"/>
      <c r="K51" s="92"/>
      <c r="L51" s="86"/>
    </row>
    <row r="52" spans="1:12" s="85" customFormat="1" ht="62.25" customHeight="1" outlineLevel="1">
      <c r="A52" s="80"/>
      <c r="B52" s="89"/>
      <c r="C52" s="89"/>
      <c r="D52" s="84"/>
      <c r="E52" s="131"/>
      <c r="F52" s="132"/>
      <c r="G52" s="132"/>
      <c r="J52" s="90"/>
      <c r="K52" s="92"/>
      <c r="L52" s="86"/>
    </row>
    <row r="53" spans="1:12" s="4" customFormat="1" ht="12.75" outlineLevel="1">
      <c r="A53" s="133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5"/>
    </row>
    <row r="54" spans="1:12" s="85" customFormat="1" ht="87.75" customHeight="1" outlineLevel="1">
      <c r="A54" s="80"/>
      <c r="B54" s="89"/>
      <c r="C54" s="89"/>
      <c r="D54" s="84"/>
      <c r="E54" s="131"/>
      <c r="F54" s="132"/>
      <c r="G54" s="132"/>
      <c r="J54" s="90"/>
      <c r="K54" s="92"/>
      <c r="L54" s="86"/>
    </row>
    <row r="55" spans="1:12" s="4" customFormat="1" ht="12.75">
      <c r="A55" s="133"/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5"/>
    </row>
    <row r="56" spans="1:12" s="85" customFormat="1" ht="101.25" customHeight="1" outlineLevel="1">
      <c r="A56" s="80"/>
      <c r="B56" s="89"/>
      <c r="C56" s="89"/>
      <c r="D56" s="84"/>
      <c r="E56" s="131"/>
      <c r="F56" s="132"/>
      <c r="G56" s="132"/>
      <c r="J56" s="90"/>
      <c r="K56" s="103"/>
      <c r="L56" s="86"/>
    </row>
    <row r="57" spans="1:12" s="85" customFormat="1" ht="96" customHeight="1" outlineLevel="1">
      <c r="A57" s="80"/>
      <c r="B57" s="89"/>
      <c r="C57" s="89"/>
      <c r="D57" s="84"/>
      <c r="E57" s="131"/>
      <c r="F57" s="132"/>
      <c r="G57" s="132"/>
      <c r="J57" s="90"/>
      <c r="K57" s="92"/>
      <c r="L57" s="86"/>
    </row>
    <row r="58" spans="1:12" s="85" customFormat="1" ht="96" customHeight="1" outlineLevel="1">
      <c r="A58" s="80"/>
      <c r="B58" s="89"/>
      <c r="C58" s="89"/>
      <c r="D58" s="84"/>
      <c r="E58" s="131"/>
      <c r="F58" s="132"/>
      <c r="G58" s="132"/>
      <c r="J58" s="90"/>
      <c r="K58" s="92"/>
      <c r="L58" s="86"/>
    </row>
    <row r="59" spans="1:12" s="4" customFormat="1" ht="12.75">
      <c r="A59" s="133"/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5"/>
    </row>
    <row r="60" spans="1:12" s="85" customFormat="1" ht="27.75" customHeight="1" outlineLevel="1">
      <c r="A60" s="167"/>
      <c r="B60" s="168"/>
      <c r="C60" s="168"/>
      <c r="D60" s="169"/>
      <c r="E60" s="131"/>
      <c r="F60" s="132"/>
      <c r="G60" s="132"/>
      <c r="J60" s="90"/>
      <c r="K60" s="92"/>
      <c r="L60" s="86"/>
    </row>
    <row r="61" spans="1:12" s="85" customFormat="1" ht="27.75" customHeight="1" outlineLevel="1">
      <c r="A61" s="80"/>
      <c r="B61" s="89"/>
      <c r="C61" s="89"/>
      <c r="D61" s="84"/>
      <c r="E61" s="131"/>
      <c r="F61" s="132"/>
      <c r="G61" s="132"/>
      <c r="J61" s="90"/>
      <c r="K61" s="92"/>
      <c r="L61" s="86"/>
    </row>
    <row r="62" spans="1:12" s="85" customFormat="1" ht="81" customHeight="1" outlineLevel="1">
      <c r="A62" s="80"/>
      <c r="B62" s="89"/>
      <c r="C62" s="89"/>
      <c r="D62" s="84"/>
      <c r="E62" s="166"/>
      <c r="F62" s="132"/>
      <c r="G62" s="132"/>
      <c r="J62" s="90"/>
      <c r="K62" s="92"/>
      <c r="L62" s="86"/>
    </row>
    <row r="63" spans="1:12" s="4" customFormat="1" ht="12.75">
      <c r="A63" s="133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5"/>
    </row>
    <row r="64" spans="1:12" s="4" customFormat="1" ht="12.75" outlineLevel="1">
      <c r="A64" s="133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5"/>
    </row>
    <row r="65" spans="1:12" s="85" customFormat="1" ht="87.75" customHeight="1" outlineLevel="1">
      <c r="A65" s="80"/>
      <c r="B65" s="89"/>
      <c r="C65" s="89"/>
      <c r="D65" s="84"/>
      <c r="E65" s="131"/>
      <c r="F65" s="132"/>
      <c r="G65" s="132"/>
      <c r="J65" s="90"/>
      <c r="K65" s="92"/>
      <c r="L65" s="86"/>
    </row>
    <row r="66" spans="1:12" s="85" customFormat="1" ht="87.75" customHeight="1" outlineLevel="1">
      <c r="A66" s="80"/>
      <c r="B66" s="89"/>
      <c r="C66" s="89"/>
      <c r="D66" s="84"/>
      <c r="E66" s="131"/>
      <c r="F66" s="132"/>
      <c r="G66" s="132"/>
      <c r="J66" s="90"/>
      <c r="K66" s="92"/>
      <c r="L66" s="86"/>
    </row>
    <row r="67" spans="1:12" s="4" customFormat="1" ht="12.75" outlineLevel="1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5"/>
    </row>
    <row r="68" spans="1:12" s="85" customFormat="1" ht="87.75" customHeight="1" outlineLevel="1">
      <c r="A68" s="80"/>
      <c r="B68" s="89"/>
      <c r="C68" s="89"/>
      <c r="D68" s="84"/>
      <c r="E68" s="131"/>
      <c r="F68" s="132"/>
      <c r="G68" s="132"/>
      <c r="J68" s="90"/>
      <c r="K68" s="92"/>
      <c r="L68" s="86"/>
    </row>
    <row r="69" spans="1:12" s="85" customFormat="1" ht="87.75" customHeight="1" outlineLevel="1">
      <c r="A69" s="80"/>
      <c r="B69" s="89"/>
      <c r="C69" s="89"/>
      <c r="D69" s="84"/>
      <c r="E69" s="131"/>
      <c r="F69" s="132"/>
      <c r="G69" s="132"/>
      <c r="J69" s="90"/>
      <c r="K69" s="92"/>
      <c r="L69" s="86"/>
    </row>
    <row r="70" spans="1:12" s="4" customFormat="1" ht="12.75" outlineLevel="1">
      <c r="A70" s="133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5"/>
    </row>
    <row r="71" spans="1:12" s="85" customFormat="1" ht="87.75" customHeight="1" outlineLevel="1">
      <c r="A71" s="80"/>
      <c r="B71" s="89"/>
      <c r="C71" s="89"/>
      <c r="D71" s="84"/>
      <c r="E71" s="131"/>
      <c r="F71" s="132"/>
      <c r="G71" s="132"/>
      <c r="J71" s="90"/>
      <c r="K71" s="92"/>
      <c r="L71" s="86"/>
    </row>
    <row r="72" spans="1:12" s="85" customFormat="1" ht="87.75" customHeight="1" outlineLevel="1">
      <c r="A72" s="80"/>
      <c r="B72" s="89"/>
      <c r="C72" s="89"/>
      <c r="D72" s="84"/>
      <c r="E72" s="131"/>
      <c r="F72" s="132"/>
      <c r="G72" s="132"/>
      <c r="J72" s="90"/>
      <c r="K72" s="92"/>
      <c r="L72" s="86"/>
    </row>
    <row r="73" spans="1:12" s="4" customFormat="1" ht="12.75" outlineLevel="1">
      <c r="A73" s="133"/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5"/>
    </row>
    <row r="74" spans="1:12" s="85" customFormat="1" ht="87.75" customHeight="1" outlineLevel="1">
      <c r="A74" s="80"/>
      <c r="B74" s="89"/>
      <c r="C74" s="89"/>
      <c r="D74" s="84"/>
      <c r="E74" s="131"/>
      <c r="F74" s="132"/>
      <c r="G74" s="132"/>
      <c r="J74" s="90"/>
      <c r="K74" s="92"/>
      <c r="L74" s="86"/>
    </row>
    <row r="75" spans="1:12" s="85" customFormat="1" ht="87.75" customHeight="1" outlineLevel="1">
      <c r="A75" s="80"/>
      <c r="B75" s="89"/>
      <c r="C75" s="89"/>
      <c r="D75" s="84"/>
      <c r="E75" s="131"/>
      <c r="F75" s="132"/>
      <c r="G75" s="132"/>
      <c r="J75" s="90"/>
      <c r="K75" s="92"/>
      <c r="L75" s="86"/>
    </row>
    <row r="76" spans="1:12" s="4" customFormat="1" ht="12.75">
      <c r="A76" s="133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5"/>
    </row>
    <row r="77" spans="1:12" s="85" customFormat="1" ht="87.75" customHeight="1" outlineLevel="1">
      <c r="A77" s="80"/>
      <c r="B77" s="89"/>
      <c r="C77" s="89"/>
      <c r="D77" s="84"/>
      <c r="E77" s="131"/>
      <c r="F77" s="132"/>
      <c r="G77" s="132"/>
      <c r="J77" s="90"/>
      <c r="K77" s="92"/>
      <c r="L77" s="86"/>
    </row>
    <row r="78" spans="1:12" s="85" customFormat="1" ht="87.75" customHeight="1" outlineLevel="1">
      <c r="A78" s="80"/>
      <c r="B78" s="89"/>
      <c r="C78" s="89"/>
      <c r="D78" s="84"/>
      <c r="E78" s="131"/>
      <c r="F78" s="132"/>
      <c r="G78" s="132"/>
      <c r="J78" s="90"/>
      <c r="K78" s="92"/>
      <c r="L78" s="86"/>
    </row>
    <row r="79" spans="1:12" ht="12" customHeight="1"/>
    <row r="80" spans="1:12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</sheetData>
  <mergeCells count="85">
    <mergeCell ref="I9:I10"/>
    <mergeCell ref="E14:G14"/>
    <mergeCell ref="A76:L76"/>
    <mergeCell ref="E77:G77"/>
    <mergeCell ref="E78:G78"/>
    <mergeCell ref="E57:G57"/>
    <mergeCell ref="E72:G72"/>
    <mergeCell ref="A73:L73"/>
    <mergeCell ref="E74:G74"/>
    <mergeCell ref="E75:G75"/>
    <mergeCell ref="E68:G68"/>
    <mergeCell ref="E69:G69"/>
    <mergeCell ref="E71:G71"/>
    <mergeCell ref="E65:G65"/>
    <mergeCell ref="E66:G66"/>
    <mergeCell ref="A64:L64"/>
    <mergeCell ref="E52:G52"/>
    <mergeCell ref="E51:G51"/>
    <mergeCell ref="A59:L59"/>
    <mergeCell ref="E54:G54"/>
    <mergeCell ref="A53:L53"/>
    <mergeCell ref="A55:L55"/>
    <mergeCell ref="E56:G56"/>
    <mergeCell ref="E58:G58"/>
    <mergeCell ref="A70:L70"/>
    <mergeCell ref="A63:L63"/>
    <mergeCell ref="E61:G61"/>
    <mergeCell ref="E62:G62"/>
    <mergeCell ref="A60:D60"/>
    <mergeCell ref="E60:G60"/>
    <mergeCell ref="A67:L67"/>
    <mergeCell ref="A9:A10"/>
    <mergeCell ref="B9:B10"/>
    <mergeCell ref="D9:D10"/>
    <mergeCell ref="E9:H10"/>
    <mergeCell ref="A21:D21"/>
    <mergeCell ref="E15:G15"/>
    <mergeCell ref="E13:G13"/>
    <mergeCell ref="E16:G16"/>
    <mergeCell ref="E20:G20"/>
    <mergeCell ref="E17:G17"/>
    <mergeCell ref="E19:G19"/>
    <mergeCell ref="E18:G18"/>
    <mergeCell ref="B1:E2"/>
    <mergeCell ref="A8:E8"/>
    <mergeCell ref="B5:E5"/>
    <mergeCell ref="A12:L12"/>
    <mergeCell ref="J5:L5"/>
    <mergeCell ref="J6:L6"/>
    <mergeCell ref="J7:L7"/>
    <mergeCell ref="B3:E3"/>
    <mergeCell ref="J4:L4"/>
    <mergeCell ref="L9:L10"/>
    <mergeCell ref="J3:L3"/>
    <mergeCell ref="B4:E4"/>
    <mergeCell ref="J9:J10"/>
    <mergeCell ref="A11:L11"/>
    <mergeCell ref="K9:K10"/>
    <mergeCell ref="C9:C10"/>
    <mergeCell ref="E33:G33"/>
    <mergeCell ref="E30:G30"/>
    <mergeCell ref="E32:G32"/>
    <mergeCell ref="E31:G31"/>
    <mergeCell ref="E50:G50"/>
    <mergeCell ref="E49:G49"/>
    <mergeCell ref="E40:G40"/>
    <mergeCell ref="E43:G43"/>
    <mergeCell ref="E42:G42"/>
    <mergeCell ref="E41:G41"/>
    <mergeCell ref="A44:L44"/>
    <mergeCell ref="E46:G46"/>
    <mergeCell ref="E47:G47"/>
    <mergeCell ref="E48:G48"/>
    <mergeCell ref="A45:L45"/>
    <mergeCell ref="A34:D34"/>
    <mergeCell ref="E35:G35"/>
    <mergeCell ref="E36:G36"/>
    <mergeCell ref="E37:G37"/>
    <mergeCell ref="A39:L39"/>
    <mergeCell ref="E38:G38"/>
    <mergeCell ref="E22:G22"/>
    <mergeCell ref="E23:G23"/>
    <mergeCell ref="E24:G24"/>
    <mergeCell ref="E25:G25"/>
    <mergeCell ref="E26:G26"/>
  </mergeCells>
  <phoneticPr fontId="16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71DF-7635-4D6B-9EE2-751799C335F3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C4" sqref="C4"/>
    </sheetView>
  </sheetViews>
  <sheetFormatPr defaultRowHeight="12.75"/>
  <cols>
    <col min="3" max="3" width="22.85546875" customWidth="1"/>
    <col min="7" max="7" width="18.85546875" customWidth="1"/>
  </cols>
  <sheetData>
    <row r="1" spans="1:7" ht="22.15">
      <c r="A1" s="13" t="s">
        <v>121</v>
      </c>
      <c r="B1" s="14"/>
      <c r="C1" s="15"/>
      <c r="D1" s="15"/>
      <c r="E1" s="15"/>
      <c r="F1" s="15"/>
      <c r="G1" s="16"/>
    </row>
    <row r="2" spans="1:7" ht="14.25" customHeight="1">
      <c r="A2" s="13"/>
      <c r="B2" s="14"/>
      <c r="C2" s="15"/>
      <c r="D2" s="15"/>
      <c r="E2" s="15"/>
      <c r="F2" s="15"/>
      <c r="G2" s="16"/>
    </row>
    <row r="3" spans="1:7" ht="13.5">
      <c r="B3" s="17" t="s">
        <v>122</v>
      </c>
      <c r="C3" s="15"/>
      <c r="D3" s="15"/>
      <c r="E3" s="15"/>
      <c r="F3" s="15"/>
      <c r="G3" s="16"/>
    </row>
    <row r="4" spans="1:7" ht="13.5">
      <c r="B4" s="17" t="s">
        <v>123</v>
      </c>
      <c r="C4" s="104"/>
      <c r="D4" s="17"/>
      <c r="E4" s="17"/>
      <c r="F4" s="17"/>
      <c r="G4" s="17"/>
    </row>
    <row r="5" spans="1:7" ht="13.5">
      <c r="A5" s="17"/>
      <c r="B5" s="17"/>
      <c r="C5" s="17"/>
      <c r="D5" s="17"/>
      <c r="E5" s="17"/>
      <c r="F5" s="17"/>
      <c r="G5" s="17"/>
    </row>
    <row r="6" spans="1:7" ht="13.5">
      <c r="A6" s="17"/>
      <c r="B6" s="17"/>
      <c r="C6" s="17"/>
      <c r="D6" s="17"/>
      <c r="E6" s="17"/>
      <c r="F6" s="17"/>
      <c r="G6" s="17"/>
    </row>
    <row r="7" spans="1:7" ht="25.5">
      <c r="A7" s="17"/>
      <c r="B7" s="51" t="s">
        <v>124</v>
      </c>
      <c r="C7" s="52" t="s">
        <v>125</v>
      </c>
      <c r="D7" s="53" t="s">
        <v>35</v>
      </c>
      <c r="E7" s="52" t="s">
        <v>37</v>
      </c>
      <c r="F7" s="52" t="s">
        <v>36</v>
      </c>
      <c r="G7" s="54" t="s">
        <v>126</v>
      </c>
    </row>
    <row r="8" spans="1:7" s="62" customFormat="1" ht="13.5">
      <c r="A8" s="65"/>
      <c r="B8" s="66">
        <v>1</v>
      </c>
      <c r="C8" s="67" t="str">
        <f>booking_driver!B4</f>
        <v>Software Testing (21212)</v>
      </c>
      <c r="D8" s="68">
        <f>booking_driver!B6</f>
        <v>0</v>
      </c>
      <c r="E8" s="67">
        <f>booking_driver!B7</f>
        <v>0</v>
      </c>
      <c r="F8" s="67">
        <f>booking_driver!E6</f>
        <v>0</v>
      </c>
      <c r="G8" s="68">
        <f>booking_driver!E7</f>
        <v>3</v>
      </c>
    </row>
    <row r="9" spans="1:7" ht="13.5">
      <c r="A9" s="17"/>
      <c r="B9" s="30"/>
      <c r="C9" s="29"/>
      <c r="D9" s="70"/>
      <c r="E9" s="28"/>
      <c r="F9" s="28"/>
      <c r="G9" s="31"/>
    </row>
    <row r="10" spans="1:7" ht="13.5">
      <c r="A10" s="17"/>
      <c r="B10" s="55"/>
      <c r="C10" s="56" t="s">
        <v>127</v>
      </c>
      <c r="D10" s="57">
        <f>SUM(D6:D9)</f>
        <v>0</v>
      </c>
      <c r="E10" s="57">
        <f>SUM(E6:E9)</f>
        <v>0</v>
      </c>
      <c r="F10" s="57">
        <f>SUM(F6:F9)</f>
        <v>0</v>
      </c>
      <c r="G10" s="58">
        <f>SUM(G6:G9)</f>
        <v>3</v>
      </c>
    </row>
    <row r="11" spans="1:7" ht="13.5">
      <c r="A11" s="17"/>
      <c r="B11" s="18"/>
      <c r="C11" s="17"/>
      <c r="D11" s="19"/>
      <c r="E11" s="20"/>
      <c r="F11" s="20"/>
      <c r="G11" s="20"/>
    </row>
    <row r="12" spans="1:7" ht="13.5">
      <c r="A12" s="17"/>
      <c r="B12" s="17"/>
      <c r="C12" s="17" t="s">
        <v>128</v>
      </c>
      <c r="D12" s="17"/>
      <c r="E12" s="21">
        <f>(D10+E10)*100/G10</f>
        <v>0</v>
      </c>
      <c r="F12" s="17" t="s">
        <v>129</v>
      </c>
      <c r="G12" s="22"/>
    </row>
    <row r="13" spans="1:7" ht="13.5">
      <c r="A13" s="17"/>
      <c r="B13" s="17"/>
      <c r="C13" s="17" t="s">
        <v>130</v>
      </c>
      <c r="D13" s="17"/>
      <c r="E13" s="21">
        <f>D10*100/G10</f>
        <v>0</v>
      </c>
      <c r="F13" s="17" t="s">
        <v>129</v>
      </c>
      <c r="G13" s="22"/>
    </row>
  </sheetData>
  <phoneticPr fontId="11"/>
  <pageMargins left="0.75" right="0.75" top="1" bottom="1" header="0.5" footer="0.5"/>
  <pageSetup orientation="landscape" r:id="rId1"/>
  <headerFooter alignWithMargins="0">
    <oddFooter>&amp;L&amp;"Tahoma,Regular"&amp;8 02ae-BM/PM/HDCV/FSOFT v1/0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Test Case</dc:subject>
  <dc:creator>Vadim V. Bobrenok</dc:creator>
  <cp:keywords/>
  <dc:description>v1.2</dc:description>
  <cp:lastModifiedBy/>
  <cp:revision/>
  <dcterms:created xsi:type="dcterms:W3CDTF">2002-07-27T17:17:25Z</dcterms:created>
  <dcterms:modified xsi:type="dcterms:W3CDTF">2026-02-13T12:07:52Z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iority">
    <vt:lpwstr/>
  </property>
</Properties>
</file>